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styles.xml" ContentType="application/vnd.openxmlformats-officedocument.spreadsheetml.styles+xml"/>
  <Override PartName="/xl/worksheets/sheet2.xml" ContentType="application/vnd.openxmlformats-officedocument.spreadsheetml.worksheet+xml"/>
  <Override PartName="/xl/theme/theme1.xml" ContentType="application/vnd.openxmlformats-officedocument.theme+xml"/>
  <Override PartName="/xl/worksheets/sheet1.xml" ContentType="application/vnd.openxmlformats-officedocument.spreadsheetml.worksheet+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workbook.xml" ContentType="application/vnd.openxmlformats-officedocument.spreadsheetml.template.main+xml"/>
  <Override PartName="/customXml/itemProps2.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workbookPr codeName="ThisWorkbook"/>
  <bookViews>
    <workbookView xWindow="0" yWindow="1365" windowWidth="15360" windowHeight="9150"/>
  </bookViews>
  <sheets>
    <sheet name="FORM" sheetId="2" r:id="rId1"/>
    <sheet name="WORD" sheetId="1" state="hidden" r:id="rId2"/>
  </sheets>
  <definedNames>
    <definedName name="data_1">FORM!$C$4:$E$5</definedName>
    <definedName name="date_2">FORM!$G$4:$I$5</definedName>
    <definedName name="Enter_data">FORM!$B$8:$J$24</definedName>
    <definedName name="_xlnm.Print_Area" localSheetId="0">FORM!$B$2:$J$31</definedName>
    <definedName name="WORD">WORD!$B$14</definedName>
  </definedNames>
  <calcPr calcId="125725"/>
</workbook>
</file>

<file path=xl/calcChain.xml><?xml version="1.0" encoding="utf-8"?>
<calcChain xmlns="http://schemas.openxmlformats.org/spreadsheetml/2006/main">
  <c r="I25" i="2"/>
  <c r="C5" i="1" l="1"/>
  <c r="C12"/>
  <c r="D12" s="1"/>
  <c r="C10"/>
  <c r="C8"/>
  <c r="C13"/>
  <c r="F13" s="1"/>
  <c r="C9"/>
  <c r="C6"/>
  <c r="C11"/>
  <c r="D11" s="1"/>
  <c r="C7"/>
  <c r="E11" l="1"/>
  <c r="F11"/>
  <c r="G11"/>
  <c r="E12"/>
  <c r="F12"/>
  <c r="D10" l="1"/>
  <c r="E10" l="1"/>
  <c r="D9" s="1"/>
  <c r="F10"/>
  <c r="G9" l="1"/>
  <c r="E9"/>
  <c r="D8" s="1"/>
  <c r="G10"/>
  <c r="F9"/>
  <c r="E8" l="1"/>
  <c r="D7" s="1"/>
  <c r="F8"/>
  <c r="G8" l="1"/>
  <c r="F7"/>
  <c r="G7"/>
  <c r="E7"/>
  <c r="D6" s="1"/>
  <c r="F6" l="1"/>
  <c r="E6"/>
  <c r="D5" s="1"/>
  <c r="G6" l="1"/>
  <c r="G5"/>
  <c r="E5"/>
  <c r="F5"/>
  <c r="B14" l="1"/>
  <c r="B26" i="2" s="1"/>
</calcChain>
</file>

<file path=xl/comments1.xml><?xml version="1.0" encoding="utf-8"?>
<comments xmlns="http://schemas.openxmlformats.org/spreadsheetml/2006/main">
  <authors>
    <author/>
  </authors>
  <commentList>
    <comment ref="G4" authorId="0">
      <text>
        <r>
          <rPr>
            <b/>
            <sz val="10"/>
            <color indexed="81"/>
            <rFont val="Tahoma"/>
            <family val="2"/>
          </rPr>
          <t>Business Unit</t>
        </r>
      </text>
    </comment>
    <comment ref="G5" authorId="0">
      <text>
        <r>
          <rPr>
            <b/>
            <sz val="10"/>
            <color indexed="81"/>
            <rFont val="Tahoma"/>
            <family val="2"/>
          </rPr>
          <t>Invoice Reference</t>
        </r>
        <r>
          <rPr>
            <sz val="8"/>
            <color indexed="81"/>
            <rFont val="Tahoma"/>
            <family val="2"/>
          </rPr>
          <t xml:space="preserve">
</t>
        </r>
      </text>
    </comment>
  </commentList>
</comments>
</file>

<file path=xl/sharedStrings.xml><?xml version="1.0" encoding="utf-8"?>
<sst xmlns="http://schemas.openxmlformats.org/spreadsheetml/2006/main" count="124" uniqueCount="122">
  <si>
    <t>ONE</t>
  </si>
  <si>
    <t>TWO</t>
  </si>
  <si>
    <t>THREE</t>
  </si>
  <si>
    <t>FOUR</t>
  </si>
  <si>
    <t>FIVE</t>
  </si>
  <si>
    <t>SIX</t>
  </si>
  <si>
    <t>SEVEN</t>
  </si>
  <si>
    <t>EIGHT</t>
  </si>
  <si>
    <t>NINE</t>
  </si>
  <si>
    <t>TEN</t>
  </si>
  <si>
    <t>TWENTY</t>
  </si>
  <si>
    <t>ELEVEN</t>
  </si>
  <si>
    <t>TWELVE</t>
  </si>
  <si>
    <t>THIRTEEN</t>
  </si>
  <si>
    <t>FOURTEEN</t>
  </si>
  <si>
    <t>FIFTEEN</t>
  </si>
  <si>
    <t>SIXTEEN</t>
  </si>
  <si>
    <t>SEVENTEEN</t>
  </si>
  <si>
    <t>EIGHTEEN</t>
  </si>
  <si>
    <t>NINETEEN</t>
  </si>
  <si>
    <t>THIRTY</t>
  </si>
  <si>
    <t>FORTY</t>
  </si>
  <si>
    <t>FIFTY</t>
  </si>
  <si>
    <t>SIXTY</t>
  </si>
  <si>
    <t>SEVENTY</t>
  </si>
  <si>
    <t>EIGHTY</t>
  </si>
  <si>
    <t>NINETY</t>
  </si>
  <si>
    <t>TWENTY ONE</t>
  </si>
  <si>
    <t>TWENTY TWO</t>
  </si>
  <si>
    <t>TWENTY THREE</t>
  </si>
  <si>
    <t>TWENTY FOUR</t>
  </si>
  <si>
    <t>TWENTY FIVE</t>
  </si>
  <si>
    <t>TWENTY SIX</t>
  </si>
  <si>
    <t>TWENTY SEVEN</t>
  </si>
  <si>
    <t>TWENTY EIGHT</t>
  </si>
  <si>
    <t>TWENTY NINE</t>
  </si>
  <si>
    <t>THIRTY ONE</t>
  </si>
  <si>
    <t>THIRTY TWO</t>
  </si>
  <si>
    <t>THIRTY THREE</t>
  </si>
  <si>
    <t>THIRTY FOUR</t>
  </si>
  <si>
    <t>THIRTY FIVE</t>
  </si>
  <si>
    <t>THIRTY SIX</t>
  </si>
  <si>
    <t>THIRTY SEVEN</t>
  </si>
  <si>
    <t>THIRTY EIGHT</t>
  </si>
  <si>
    <t>THIRTY NINE</t>
  </si>
  <si>
    <t>FORTY ONE</t>
  </si>
  <si>
    <t>FORTY TWO</t>
  </si>
  <si>
    <t>FORTY THREE</t>
  </si>
  <si>
    <t>FORTY FOUR</t>
  </si>
  <si>
    <t>FORTY FIVE</t>
  </si>
  <si>
    <t>FORTY SIX</t>
  </si>
  <si>
    <t>FORTY SEVEN</t>
  </si>
  <si>
    <t>FORTY EIGHT</t>
  </si>
  <si>
    <t>FORTY NINE</t>
  </si>
  <si>
    <t>FIFTY ONE</t>
  </si>
  <si>
    <t>FIFTY TWO</t>
  </si>
  <si>
    <t>FIFTY THREE</t>
  </si>
  <si>
    <t>FIFTY FOUR</t>
  </si>
  <si>
    <t>FIFTY FIVE</t>
  </si>
  <si>
    <t>FIFTY SIX</t>
  </si>
  <si>
    <t>FIFTY SEVEN</t>
  </si>
  <si>
    <t>FIFTY EIGHT</t>
  </si>
  <si>
    <t>FIFTY NINE</t>
  </si>
  <si>
    <t>SIXTY ONE</t>
  </si>
  <si>
    <t>SIXTY TWO</t>
  </si>
  <si>
    <t>SIXTY THREE</t>
  </si>
  <si>
    <t>SIXTY FOUR</t>
  </si>
  <si>
    <t>SIXTY FIVE</t>
  </si>
  <si>
    <t>SIXTY SIX</t>
  </si>
  <si>
    <t>SIXTY SEVEN</t>
  </si>
  <si>
    <t>SIXTY EIGHT</t>
  </si>
  <si>
    <t>SIXTY NINE</t>
  </si>
  <si>
    <t>SEVENTY ONE</t>
  </si>
  <si>
    <t>SEVENTY TWO</t>
  </si>
  <si>
    <t>SEVENTY THREE</t>
  </si>
  <si>
    <t>SEVENTY FOUR</t>
  </si>
  <si>
    <t>SEVENTY FIVE</t>
  </si>
  <si>
    <t>SEVENTY SIX</t>
  </si>
  <si>
    <t>SEVENTY SEVEN</t>
  </si>
  <si>
    <t>SEVENTY EIGHT</t>
  </si>
  <si>
    <t>SEVENTY NINE</t>
  </si>
  <si>
    <t>EIGHTY ONE</t>
  </si>
  <si>
    <t>EIGHTY TWO</t>
  </si>
  <si>
    <t>EIGHTY THREE</t>
  </si>
  <si>
    <t>EIGHTY FOUR</t>
  </si>
  <si>
    <t>EIGHTY FIVE</t>
  </si>
  <si>
    <t>EIGHTY SIX</t>
  </si>
  <si>
    <t>EIGHTY SEVEN</t>
  </si>
  <si>
    <t>EIGHTY EIGHT</t>
  </si>
  <si>
    <t>EIGHTY NINE</t>
  </si>
  <si>
    <t>NINETY ONE</t>
  </si>
  <si>
    <t>NINETY TWO</t>
  </si>
  <si>
    <t>NINETY THREE</t>
  </si>
  <si>
    <t>NINETY FOUR</t>
  </si>
  <si>
    <t>NINETY FIVE</t>
  </si>
  <si>
    <t>NINETY SIX</t>
  </si>
  <si>
    <t>NINETY SEVEN</t>
  </si>
  <si>
    <t>NINETY EIGHT</t>
  </si>
  <si>
    <t>NINETY NINE</t>
  </si>
  <si>
    <t>HUNDRED</t>
  </si>
  <si>
    <t>HUNDRED THOUSAND</t>
  </si>
  <si>
    <t>HUNDRED MILLION</t>
  </si>
  <si>
    <t>HUNDRED BILLION</t>
  </si>
  <si>
    <t>THOUSAND</t>
  </si>
  <si>
    <t>MILLION</t>
  </si>
  <si>
    <t>BILLION</t>
  </si>
  <si>
    <t>Payment Details</t>
  </si>
  <si>
    <t>Manager Approval</t>
  </si>
  <si>
    <t>Date:</t>
  </si>
  <si>
    <t>Name:</t>
  </si>
  <si>
    <t>Business Unit:</t>
  </si>
  <si>
    <t>Reference:</t>
  </si>
  <si>
    <t>Treasury Approval</t>
  </si>
  <si>
    <t>Received by:</t>
  </si>
  <si>
    <t>Finance Approval</t>
  </si>
  <si>
    <t>Account Code</t>
  </si>
  <si>
    <t>EXPENSE CLAIM</t>
  </si>
  <si>
    <t>Exchange Rate</t>
  </si>
  <si>
    <t>Foreign Currency Amount</t>
  </si>
  <si>
    <t>Original Receipts must be attached - Ensure that your claim has Manager and Finance approval before it is presented forTreasury approval. Finance Approval requires validation of budget centre and GL account code assignment and ensure accuracy of the invoice.</t>
  </si>
  <si>
    <t>Cost Centre Code</t>
  </si>
  <si>
    <t>Amount</t>
  </si>
</sst>
</file>

<file path=xl/styles.xml><?xml version="1.0" encoding="utf-8"?>
<styleSheet xmlns="http://schemas.openxmlformats.org/spreadsheetml/2006/main">
  <numFmts count="3">
    <numFmt numFmtId="164" formatCode="_-* #,##0.00\ _$_-;\-* #,##0.00\ _$_-;_-* &quot;-&quot;??\ _$_-;_-@_-"/>
    <numFmt numFmtId="165" formatCode="_-* #,##0\ _$_-;\-* #,##0\ _$_-;_-* &quot;-&quot;??\ _$_-;_-@_-"/>
    <numFmt numFmtId="166" formatCode="dd\ mmmm\ yyyy"/>
  </numFmts>
  <fonts count="16">
    <font>
      <sz val="8"/>
      <name val="Arial"/>
    </font>
    <font>
      <sz val="8"/>
      <name val="Arial"/>
      <family val="2"/>
    </font>
    <font>
      <b/>
      <sz val="10"/>
      <name val="Tahoma"/>
      <family val="2"/>
    </font>
    <font>
      <sz val="8"/>
      <name val="Tahoma"/>
      <family val="2"/>
    </font>
    <font>
      <b/>
      <sz val="14"/>
      <name val="Tahoma"/>
      <family val="2"/>
    </font>
    <font>
      <sz val="10"/>
      <name val="Tahoma"/>
      <family val="2"/>
    </font>
    <font>
      <sz val="10"/>
      <name val="Arial"/>
      <family val="2"/>
    </font>
    <font>
      <sz val="12"/>
      <name val="Tahoma"/>
      <family val="2"/>
    </font>
    <font>
      <sz val="8"/>
      <name val="Arial"/>
      <family val="2"/>
    </font>
    <font>
      <sz val="8"/>
      <color indexed="81"/>
      <name val="Tahoma"/>
      <family val="2"/>
    </font>
    <font>
      <b/>
      <sz val="10"/>
      <color indexed="81"/>
      <name val="Tahoma"/>
      <family val="2"/>
    </font>
    <font>
      <sz val="8"/>
      <color indexed="17"/>
      <name val="Calibri"/>
      <family val="2"/>
      <scheme val="minor"/>
    </font>
    <font>
      <sz val="10"/>
      <name val="Calibri"/>
      <family val="2"/>
      <scheme val="minor"/>
    </font>
    <font>
      <b/>
      <sz val="12"/>
      <name val="Calibri"/>
      <family val="2"/>
      <scheme val="minor"/>
    </font>
    <font>
      <sz val="8"/>
      <name val="Calibri"/>
      <family val="2"/>
      <scheme val="minor"/>
    </font>
    <font>
      <b/>
      <sz val="10"/>
      <name val="Calibri"/>
      <family val="2"/>
      <scheme val="minor"/>
    </font>
  </fonts>
  <fills count="4">
    <fill>
      <patternFill patternType="none"/>
    </fill>
    <fill>
      <patternFill patternType="gray125"/>
    </fill>
    <fill>
      <gradientFill degree="90">
        <stop position="0">
          <color theme="0"/>
        </stop>
        <stop position="1">
          <color theme="6" tint="-0.25098422193060094"/>
        </stop>
      </gradientFill>
    </fill>
    <fill>
      <gradientFill degree="90">
        <stop position="0">
          <color theme="0"/>
        </stop>
        <stop position="0.5">
          <color theme="6" tint="-0.25098422193060094"/>
        </stop>
        <stop position="1">
          <color theme="0"/>
        </stop>
      </gradientFill>
    </fill>
  </fills>
  <borders count="43">
    <border>
      <left/>
      <right/>
      <top/>
      <bottom/>
      <diagonal/>
    </border>
    <border>
      <left/>
      <right style="medium">
        <color indexed="17"/>
      </right>
      <top style="medium">
        <color indexed="17"/>
      </top>
      <bottom/>
      <diagonal/>
    </border>
    <border>
      <left/>
      <right style="medium">
        <color indexed="17"/>
      </right>
      <top/>
      <bottom/>
      <diagonal/>
    </border>
    <border>
      <left/>
      <right/>
      <top style="medium">
        <color indexed="17"/>
      </top>
      <bottom/>
      <diagonal/>
    </border>
    <border>
      <left style="medium">
        <color indexed="17"/>
      </left>
      <right/>
      <top/>
      <bottom/>
      <diagonal/>
    </border>
    <border>
      <left style="medium">
        <color indexed="17"/>
      </left>
      <right/>
      <top style="medium">
        <color indexed="17"/>
      </top>
      <bottom/>
      <diagonal/>
    </border>
    <border>
      <left style="thin">
        <color indexed="17"/>
      </left>
      <right style="thin">
        <color indexed="17"/>
      </right>
      <top/>
      <bottom style="hair">
        <color indexed="17"/>
      </bottom>
      <diagonal/>
    </border>
    <border>
      <left style="thin">
        <color indexed="17"/>
      </left>
      <right style="thin">
        <color indexed="17"/>
      </right>
      <top style="hair">
        <color indexed="17"/>
      </top>
      <bottom style="hair">
        <color indexed="17"/>
      </bottom>
      <diagonal/>
    </border>
    <border>
      <left style="thin">
        <color indexed="64"/>
      </left>
      <right style="thin">
        <color indexed="64"/>
      </right>
      <top style="medium">
        <color indexed="17"/>
      </top>
      <bottom style="medium">
        <color indexed="17"/>
      </bottom>
      <diagonal/>
    </border>
    <border>
      <left style="medium">
        <color indexed="17"/>
      </left>
      <right/>
      <top style="hair">
        <color indexed="17"/>
      </top>
      <bottom style="hair">
        <color indexed="17"/>
      </bottom>
      <diagonal/>
    </border>
    <border>
      <left/>
      <right/>
      <top style="hair">
        <color indexed="17"/>
      </top>
      <bottom style="hair">
        <color indexed="17"/>
      </bottom>
      <diagonal/>
    </border>
    <border>
      <left/>
      <right style="thin">
        <color indexed="17"/>
      </right>
      <top style="hair">
        <color indexed="17"/>
      </top>
      <bottom style="hair">
        <color indexed="17"/>
      </bottom>
      <diagonal/>
    </border>
    <border>
      <left/>
      <right/>
      <top style="medium">
        <color indexed="17"/>
      </top>
      <bottom style="medium">
        <color indexed="17"/>
      </bottom>
      <diagonal/>
    </border>
    <border>
      <left style="medium">
        <color indexed="17"/>
      </left>
      <right/>
      <top/>
      <bottom style="medium">
        <color indexed="17"/>
      </bottom>
      <diagonal/>
    </border>
    <border>
      <left/>
      <right/>
      <top/>
      <bottom style="medium">
        <color indexed="17"/>
      </bottom>
      <diagonal/>
    </border>
    <border>
      <left/>
      <right style="medium">
        <color indexed="17"/>
      </right>
      <top/>
      <bottom style="medium">
        <color indexed="17"/>
      </bottom>
      <diagonal/>
    </border>
    <border>
      <left style="medium">
        <color indexed="17"/>
      </left>
      <right/>
      <top style="medium">
        <color indexed="17"/>
      </top>
      <bottom style="medium">
        <color indexed="17"/>
      </bottom>
      <diagonal/>
    </border>
    <border>
      <left/>
      <right style="medium">
        <color indexed="17"/>
      </right>
      <top style="medium">
        <color indexed="17"/>
      </top>
      <bottom style="medium">
        <color indexed="17"/>
      </bottom>
      <diagonal/>
    </border>
    <border>
      <left style="medium">
        <color indexed="17"/>
      </left>
      <right/>
      <top style="thin">
        <color indexed="17"/>
      </top>
      <bottom/>
      <diagonal/>
    </border>
    <border>
      <left/>
      <right/>
      <top style="thin">
        <color indexed="17"/>
      </top>
      <bottom/>
      <diagonal/>
    </border>
    <border>
      <left/>
      <right style="thin">
        <color indexed="17"/>
      </right>
      <top style="thin">
        <color indexed="17"/>
      </top>
      <bottom/>
      <diagonal/>
    </border>
    <border>
      <left/>
      <right/>
      <top style="medium">
        <color indexed="17"/>
      </top>
      <bottom style="thin">
        <color indexed="21"/>
      </bottom>
      <diagonal/>
    </border>
    <border>
      <left/>
      <right/>
      <top style="thin">
        <color indexed="21"/>
      </top>
      <bottom style="thin">
        <color indexed="21"/>
      </bottom>
      <diagonal/>
    </border>
    <border>
      <left style="thin">
        <color indexed="17"/>
      </left>
      <right/>
      <top style="thin">
        <color indexed="17"/>
      </top>
      <bottom/>
      <diagonal/>
    </border>
    <border>
      <left/>
      <right style="medium">
        <color indexed="17"/>
      </right>
      <top style="thin">
        <color indexed="17"/>
      </top>
      <bottom/>
      <diagonal/>
    </border>
    <border>
      <left style="thin">
        <color indexed="17"/>
      </left>
      <right/>
      <top style="hair">
        <color indexed="17"/>
      </top>
      <bottom style="hair">
        <color indexed="17"/>
      </bottom>
      <diagonal/>
    </border>
    <border>
      <left/>
      <right style="medium">
        <color indexed="17"/>
      </right>
      <top style="hair">
        <color indexed="17"/>
      </top>
      <bottom style="hair">
        <color indexed="17"/>
      </bottom>
      <diagonal/>
    </border>
    <border>
      <left/>
      <right/>
      <top style="medium">
        <color indexed="17"/>
      </top>
      <bottom style="thin">
        <color indexed="17"/>
      </bottom>
      <diagonal/>
    </border>
    <border>
      <left/>
      <right/>
      <top style="thin">
        <color indexed="17"/>
      </top>
      <bottom style="thin">
        <color indexed="17"/>
      </bottom>
      <diagonal/>
    </border>
    <border>
      <left style="medium">
        <color indexed="17"/>
      </left>
      <right style="thin">
        <color indexed="64"/>
      </right>
      <top style="medium">
        <color indexed="17"/>
      </top>
      <bottom style="medium">
        <color indexed="17"/>
      </bottom>
      <diagonal/>
    </border>
    <border>
      <left/>
      <right style="thin">
        <color indexed="64"/>
      </right>
      <top style="medium">
        <color indexed="17"/>
      </top>
      <bottom style="medium">
        <color indexed="17"/>
      </bottom>
      <diagonal/>
    </border>
    <border>
      <left style="thin">
        <color indexed="64"/>
      </left>
      <right/>
      <top style="medium">
        <color indexed="17"/>
      </top>
      <bottom style="medium">
        <color indexed="17"/>
      </bottom>
      <diagonal/>
    </border>
    <border>
      <left style="thin">
        <color indexed="17"/>
      </left>
      <right/>
      <top style="medium">
        <color indexed="17"/>
      </top>
      <bottom style="hair">
        <color indexed="17"/>
      </bottom>
      <diagonal/>
    </border>
    <border>
      <left/>
      <right style="medium">
        <color indexed="17"/>
      </right>
      <top style="medium">
        <color indexed="17"/>
      </top>
      <bottom style="hair">
        <color indexed="17"/>
      </bottom>
      <diagonal/>
    </border>
    <border>
      <left style="medium">
        <color indexed="17"/>
      </left>
      <right/>
      <top style="medium">
        <color indexed="17"/>
      </top>
      <bottom style="hair">
        <color indexed="17"/>
      </bottom>
      <diagonal/>
    </border>
    <border>
      <left/>
      <right/>
      <top style="medium">
        <color indexed="17"/>
      </top>
      <bottom style="hair">
        <color indexed="17"/>
      </bottom>
      <diagonal/>
    </border>
    <border>
      <left/>
      <right style="thin">
        <color indexed="17"/>
      </right>
      <top style="medium">
        <color indexed="17"/>
      </top>
      <bottom style="hair">
        <color indexed="17"/>
      </bottom>
      <diagonal/>
    </border>
    <border>
      <left style="medium">
        <color indexed="17"/>
      </left>
      <right/>
      <top style="thin">
        <color indexed="17"/>
      </top>
      <bottom style="medium">
        <color indexed="17"/>
      </bottom>
      <diagonal/>
    </border>
    <border>
      <left/>
      <right/>
      <top style="thin">
        <color indexed="17"/>
      </top>
      <bottom style="medium">
        <color indexed="17"/>
      </bottom>
      <diagonal/>
    </border>
    <border>
      <left/>
      <right style="medium">
        <color indexed="17"/>
      </right>
      <top style="thin">
        <color indexed="17"/>
      </top>
      <bottom style="medium">
        <color indexed="17"/>
      </bottom>
      <diagonal/>
    </border>
    <border>
      <left style="medium">
        <color indexed="17"/>
      </left>
      <right/>
      <top/>
      <bottom style="hair">
        <color indexed="17"/>
      </bottom>
      <diagonal/>
    </border>
    <border>
      <left/>
      <right/>
      <top/>
      <bottom style="hair">
        <color indexed="17"/>
      </bottom>
      <diagonal/>
    </border>
    <border>
      <left/>
      <right style="thin">
        <color indexed="17"/>
      </right>
      <top/>
      <bottom style="hair">
        <color indexed="17"/>
      </bottom>
      <diagonal/>
    </border>
  </borders>
  <cellStyleXfs count="2">
    <xf numFmtId="0" fontId="0" fillId="0" borderId="0"/>
    <xf numFmtId="164" fontId="1" fillId="0" borderId="0" applyFont="0" applyFill="0" applyBorder="0" applyAlignment="0" applyProtection="0"/>
  </cellStyleXfs>
  <cellXfs count="81">
    <xf numFmtId="0" fontId="0" fillId="0" borderId="0" xfId="0"/>
    <xf numFmtId="0" fontId="0" fillId="0" borderId="0" xfId="0" applyProtection="1">
      <protection hidden="1"/>
    </xf>
    <xf numFmtId="164" fontId="0" fillId="0" borderId="0" xfId="1" applyFont="1" applyProtection="1">
      <protection hidden="1"/>
    </xf>
    <xf numFmtId="165" fontId="0" fillId="0" borderId="0" xfId="1" applyNumberFormat="1" applyFont="1" applyProtection="1">
      <protection hidden="1"/>
    </xf>
    <xf numFmtId="0" fontId="0" fillId="0" borderId="0" xfId="0" applyAlignment="1" applyProtection="1">
      <alignment horizontal="centerContinuous" vertical="center" wrapText="1"/>
      <protection hidden="1"/>
    </xf>
    <xf numFmtId="0" fontId="3" fillId="0" borderId="0" xfId="0" applyFont="1"/>
    <xf numFmtId="0" fontId="3" fillId="0" borderId="1" xfId="0" applyFont="1" applyBorder="1"/>
    <xf numFmtId="0" fontId="3" fillId="0" borderId="2" xfId="0" applyFont="1" applyBorder="1"/>
    <xf numFmtId="164" fontId="5" fillId="0" borderId="0" xfId="1" applyFont="1" applyBorder="1"/>
    <xf numFmtId="164" fontId="5" fillId="0" borderId="3" xfId="1" applyFont="1" applyBorder="1"/>
    <xf numFmtId="164" fontId="5" fillId="0" borderId="4" xfId="1" applyFont="1" applyBorder="1"/>
    <xf numFmtId="164" fontId="5" fillId="0" borderId="5" xfId="1" applyFont="1" applyBorder="1"/>
    <xf numFmtId="0" fontId="5" fillId="0" borderId="6" xfId="0" applyFont="1" applyBorder="1" applyProtection="1">
      <protection locked="0"/>
    </xf>
    <xf numFmtId="0" fontId="5" fillId="0" borderId="7" xfId="0" applyFont="1" applyBorder="1" applyProtection="1">
      <protection locked="0"/>
    </xf>
    <xf numFmtId="164" fontId="5" fillId="0" borderId="9" xfId="1" applyFont="1" applyBorder="1" applyAlignment="1" applyProtection="1">
      <alignment wrapText="1"/>
      <protection locked="0"/>
    </xf>
    <xf numFmtId="164" fontId="5" fillId="0" borderId="10" xfId="1" applyFont="1" applyBorder="1" applyAlignment="1" applyProtection="1">
      <alignment wrapText="1"/>
      <protection locked="0"/>
    </xf>
    <xf numFmtId="164" fontId="0" fillId="0" borderId="11" xfId="1" applyFont="1" applyBorder="1" applyAlignment="1" applyProtection="1">
      <alignment wrapText="1"/>
      <protection locked="0"/>
    </xf>
    <xf numFmtId="164" fontId="5" fillId="0" borderId="7" xfId="1" applyFont="1" applyBorder="1" applyProtection="1">
      <protection locked="0"/>
    </xf>
    <xf numFmtId="164" fontId="5" fillId="0" borderId="40" xfId="1" applyFont="1" applyBorder="1" applyAlignment="1" applyProtection="1">
      <alignment wrapText="1"/>
      <protection locked="0"/>
    </xf>
    <xf numFmtId="164" fontId="5" fillId="0" borderId="41" xfId="1" applyFont="1" applyBorder="1" applyAlignment="1" applyProtection="1">
      <alignment wrapText="1"/>
      <protection locked="0"/>
    </xf>
    <xf numFmtId="164" fontId="0" fillId="0" borderId="42" xfId="1" applyFont="1" applyBorder="1" applyAlignment="1" applyProtection="1">
      <alignment wrapText="1"/>
      <protection locked="0"/>
    </xf>
    <xf numFmtId="164" fontId="12" fillId="0" borderId="5" xfId="1" applyFont="1" applyBorder="1"/>
    <xf numFmtId="164" fontId="12" fillId="0" borderId="3" xfId="1" applyFont="1" applyBorder="1"/>
    <xf numFmtId="166" fontId="13" fillId="0" borderId="3" xfId="0" applyNumberFormat="1" applyFont="1" applyBorder="1" applyAlignment="1">
      <alignment horizontal="center" wrapText="1"/>
    </xf>
    <xf numFmtId="0" fontId="14" fillId="0" borderId="3" xfId="0" applyFont="1" applyBorder="1" applyAlignment="1">
      <alignment wrapText="1"/>
    </xf>
    <xf numFmtId="0" fontId="14" fillId="0" borderId="1" xfId="0" applyFont="1" applyBorder="1"/>
    <xf numFmtId="164" fontId="12" fillId="0" borderId="4" xfId="1" applyFont="1" applyBorder="1"/>
    <xf numFmtId="164" fontId="12" fillId="0" borderId="0" xfId="1" applyFont="1" applyBorder="1"/>
    <xf numFmtId="0" fontId="14" fillId="0" borderId="2" xfId="0" applyFont="1" applyBorder="1"/>
    <xf numFmtId="0" fontId="12" fillId="2" borderId="8" xfId="0" applyFont="1" applyFill="1" applyBorder="1" applyAlignment="1">
      <alignment horizontal="center" vertical="center" wrapText="1"/>
    </xf>
    <xf numFmtId="164" fontId="2" fillId="0" borderId="25" xfId="1" applyFont="1" applyBorder="1" applyAlignment="1" applyProtection="1">
      <alignment horizontal="center"/>
      <protection locked="0"/>
    </xf>
    <xf numFmtId="0" fontId="0" fillId="0" borderId="26" xfId="0" applyBorder="1" applyAlignment="1">
      <alignment horizontal="center"/>
    </xf>
    <xf numFmtId="0" fontId="13" fillId="0" borderId="0" xfId="0" applyFont="1" applyBorder="1" applyAlignment="1">
      <alignment horizontal="center" wrapText="1"/>
    </xf>
    <xf numFmtId="0" fontId="14" fillId="0" borderId="0" xfId="0" applyFont="1" applyAlignment="1">
      <alignment wrapText="1"/>
    </xf>
    <xf numFmtId="166" fontId="13" fillId="0" borderId="3" xfId="0" applyNumberFormat="1" applyFont="1" applyBorder="1" applyAlignment="1">
      <alignment horizontal="center" wrapText="1"/>
    </xf>
    <xf numFmtId="0" fontId="14" fillId="0" borderId="3" xfId="0" applyFont="1" applyBorder="1" applyAlignment="1">
      <alignment wrapText="1"/>
    </xf>
    <xf numFmtId="0" fontId="4" fillId="3" borderId="5" xfId="0" applyFont="1" applyFill="1" applyBorder="1" applyAlignment="1" applyProtection="1">
      <alignment horizontal="center" vertical="center" wrapText="1"/>
      <protection locked="0"/>
    </xf>
    <xf numFmtId="0" fontId="0" fillId="0" borderId="3" xfId="0" applyBorder="1" applyAlignment="1">
      <alignment horizontal="center" vertical="center"/>
    </xf>
    <xf numFmtId="0" fontId="0" fillId="0" borderId="1"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3" fillId="0" borderId="13" xfId="0" applyFont="1" applyBorder="1" applyAlignment="1"/>
    <xf numFmtId="0" fontId="0" fillId="0" borderId="14" xfId="0" applyBorder="1" applyAlignment="1"/>
    <xf numFmtId="0" fontId="0" fillId="0" borderId="15" xfId="0" applyBorder="1" applyAlignment="1"/>
    <xf numFmtId="0" fontId="11" fillId="0" borderId="16" xfId="0" applyFont="1" applyBorder="1" applyAlignment="1">
      <alignment horizontal="left" vertical="center" wrapText="1" indent="1"/>
    </xf>
    <xf numFmtId="0" fontId="11" fillId="0" borderId="12" xfId="0" applyFont="1" applyBorder="1" applyAlignment="1">
      <alignment horizontal="left" vertical="center" wrapText="1" indent="1"/>
    </xf>
    <xf numFmtId="0" fontId="11" fillId="0" borderId="17" xfId="0" applyFont="1" applyBorder="1" applyAlignment="1">
      <alignment horizontal="left" vertical="center" wrapText="1" indent="1"/>
    </xf>
    <xf numFmtId="0" fontId="2" fillId="0" borderId="18" xfId="0" applyFont="1" applyBorder="1" applyAlignment="1">
      <alignment horizontal="right" wrapText="1"/>
    </xf>
    <xf numFmtId="0" fontId="2" fillId="0" borderId="19" xfId="0" applyFont="1" applyBorder="1" applyAlignment="1">
      <alignment horizontal="right" wrapText="1"/>
    </xf>
    <xf numFmtId="0" fontId="2" fillId="0" borderId="20" xfId="0" applyFont="1" applyBorder="1" applyAlignment="1">
      <alignment horizontal="right" wrapText="1"/>
    </xf>
    <xf numFmtId="164" fontId="12" fillId="0" borderId="13" xfId="1" applyFont="1" applyBorder="1" applyAlignment="1">
      <alignment horizontal="center"/>
    </xf>
    <xf numFmtId="164" fontId="12" fillId="0" borderId="14" xfId="1" applyFont="1" applyBorder="1" applyAlignment="1">
      <alignment horizontal="center"/>
    </xf>
    <xf numFmtId="164" fontId="12" fillId="0" borderId="15" xfId="1" applyFont="1" applyBorder="1" applyAlignment="1">
      <alignment horizontal="center"/>
    </xf>
    <xf numFmtId="0" fontId="15" fillId="0" borderId="0" xfId="0" applyFont="1" applyBorder="1" applyAlignment="1" applyProtection="1">
      <alignment horizontal="center"/>
      <protection hidden="1"/>
    </xf>
    <xf numFmtId="166" fontId="7" fillId="0" borderId="21" xfId="0" applyNumberFormat="1" applyFont="1" applyBorder="1" applyAlignment="1" applyProtection="1">
      <alignment horizontal="left" wrapText="1" indent="1"/>
      <protection locked="0"/>
    </xf>
    <xf numFmtId="0" fontId="8" fillId="0" borderId="21" xfId="0" applyFont="1" applyBorder="1" applyAlignment="1" applyProtection="1">
      <alignment horizontal="left" wrapText="1" indent="1"/>
      <protection locked="0"/>
    </xf>
    <xf numFmtId="0" fontId="7" fillId="0" borderId="22" xfId="0" applyNumberFormat="1" applyFont="1" applyBorder="1" applyAlignment="1" applyProtection="1">
      <alignment horizontal="left" wrapText="1" indent="1"/>
      <protection locked="0"/>
    </xf>
    <xf numFmtId="0" fontId="8" fillId="0" borderId="22" xfId="0" applyNumberFormat="1" applyFont="1" applyBorder="1" applyAlignment="1" applyProtection="1">
      <alignment horizontal="left" wrapText="1" indent="1"/>
      <protection locked="0"/>
    </xf>
    <xf numFmtId="164" fontId="2" fillId="0" borderId="23" xfId="1" applyFont="1" applyBorder="1" applyAlignment="1" applyProtection="1">
      <alignment horizontal="center"/>
      <protection locked="0"/>
    </xf>
    <xf numFmtId="164" fontId="2" fillId="0" borderId="24" xfId="1" applyFont="1" applyBorder="1" applyAlignment="1" applyProtection="1">
      <alignment horizontal="center"/>
      <protection locked="0"/>
    </xf>
    <xf numFmtId="0" fontId="2" fillId="0" borderId="37" xfId="0" applyFont="1" applyBorder="1" applyAlignment="1" applyProtection="1">
      <alignment horizontal="center" vertical="center" wrapText="1"/>
      <protection hidden="1"/>
    </xf>
    <xf numFmtId="0" fontId="2" fillId="0" borderId="38" xfId="0" applyFont="1" applyBorder="1" applyAlignment="1" applyProtection="1">
      <alignment horizontal="center" vertical="center" wrapText="1"/>
      <protection hidden="1"/>
    </xf>
    <xf numFmtId="0" fontId="6" fillId="0" borderId="38" xfId="0" applyFont="1" applyBorder="1" applyAlignment="1">
      <alignment horizontal="center"/>
    </xf>
    <xf numFmtId="0" fontId="6" fillId="0" borderId="39" xfId="0" applyFont="1" applyBorder="1" applyAlignment="1">
      <alignment horizontal="center"/>
    </xf>
    <xf numFmtId="164" fontId="2" fillId="0" borderId="26" xfId="1" applyFont="1" applyBorder="1" applyAlignment="1" applyProtection="1">
      <alignment horizontal="center"/>
      <protection locked="0"/>
    </xf>
    <xf numFmtId="166" fontId="7" fillId="0" borderId="27" xfId="0" applyNumberFormat="1" applyFont="1" applyBorder="1" applyAlignment="1" applyProtection="1">
      <alignment horizontal="left" wrapText="1" indent="1"/>
      <protection locked="0"/>
    </xf>
    <xf numFmtId="0" fontId="7" fillId="0" borderId="28" xfId="0" applyFont="1" applyBorder="1" applyAlignment="1" applyProtection="1">
      <alignment horizontal="left" wrapText="1" indent="1"/>
      <protection locked="0"/>
    </xf>
    <xf numFmtId="0" fontId="12" fillId="2" borderId="29" xfId="0" applyFont="1" applyFill="1" applyBorder="1" applyAlignment="1">
      <alignment horizontal="center" vertical="center" wrapText="1"/>
    </xf>
    <xf numFmtId="0" fontId="12" fillId="2" borderId="30" xfId="0" applyFont="1" applyFill="1" applyBorder="1" applyAlignment="1">
      <alignment horizontal="center" vertical="center" wrapText="1"/>
    </xf>
    <xf numFmtId="0" fontId="12" fillId="2" borderId="8" xfId="0" applyFont="1" applyFill="1" applyBorder="1" applyAlignment="1">
      <alignment horizontal="center" vertical="center" wrapText="1"/>
    </xf>
    <xf numFmtId="0" fontId="12" fillId="2" borderId="31" xfId="0" applyFont="1" applyFill="1" applyBorder="1" applyAlignment="1">
      <alignment horizontal="center" vertical="center" wrapText="1"/>
    </xf>
    <xf numFmtId="0" fontId="12" fillId="2" borderId="17" xfId="0" applyFont="1" applyFill="1" applyBorder="1" applyAlignment="1">
      <alignment horizontal="center" vertical="center" wrapText="1"/>
    </xf>
    <xf numFmtId="164" fontId="2" fillId="0" borderId="32" xfId="1" applyFont="1" applyBorder="1" applyAlignment="1" applyProtection="1">
      <alignment horizontal="center"/>
      <protection locked="0"/>
    </xf>
    <xf numFmtId="164" fontId="2" fillId="0" borderId="33" xfId="1" applyFont="1" applyBorder="1" applyAlignment="1" applyProtection="1">
      <alignment horizontal="center"/>
      <protection locked="0"/>
    </xf>
    <xf numFmtId="164" fontId="5" fillId="0" borderId="34" xfId="1" applyFont="1" applyBorder="1" applyAlignment="1" applyProtection="1">
      <alignment wrapText="1"/>
      <protection locked="0"/>
    </xf>
    <xf numFmtId="164" fontId="5" fillId="0" borderId="35" xfId="1" applyFont="1" applyBorder="1" applyAlignment="1" applyProtection="1">
      <alignment wrapText="1"/>
      <protection locked="0"/>
    </xf>
    <xf numFmtId="164" fontId="0" fillId="0" borderId="36" xfId="1" applyFont="1" applyBorder="1" applyAlignment="1" applyProtection="1">
      <alignment wrapText="1"/>
      <protection locked="0"/>
    </xf>
    <xf numFmtId="164" fontId="5" fillId="0" borderId="9" xfId="1" applyFont="1" applyBorder="1" applyAlignment="1" applyProtection="1">
      <alignment wrapText="1"/>
      <protection locked="0"/>
    </xf>
    <xf numFmtId="164" fontId="5" fillId="0" borderId="10" xfId="1" applyFont="1" applyBorder="1" applyAlignment="1" applyProtection="1">
      <alignment wrapText="1"/>
      <protection locked="0"/>
    </xf>
    <xf numFmtId="164" fontId="0" fillId="0" borderId="11" xfId="1" applyFont="1" applyBorder="1" applyAlignment="1" applyProtection="1">
      <alignment wrapText="1"/>
      <protection locked="0"/>
    </xf>
  </cellXfs>
  <cellStyles count="2">
    <cellStyle name="Comma" xfId="1" builtinId="3"/>
    <cellStyle name="Normal" xfId="0" builtinId="0"/>
  </cellStyles>
  <dxfs count="0"/>
  <tableStyles count="0" defaultTableStyle="TableStyleMedium9" defaultPivotStyle="PivotStyleLight16"/>
</styleSheet>
</file>

<file path=xl/_rels/workbook.xml.rels>&#65279;<?xml version="1.0" encoding="utf-8"?><Relationships xmlns="http://schemas.openxmlformats.org/package/2006/relationships"><Relationship Type="http://schemas.openxmlformats.org/officeDocument/2006/relationships/customXml" Target="../customXml/item2.xml" Id="rId8" /><Relationship Type="http://schemas.openxmlformats.org/officeDocument/2006/relationships/theme" Target="theme/theme1.xml" Id="rId3" /><Relationship Type="http://schemas.openxmlformats.org/officeDocument/2006/relationships/worksheet" Target="worksheets/sheet2.xml" Id="rId2" /><Relationship Type="http://schemas.openxmlformats.org/officeDocument/2006/relationships/worksheet" Target="worksheets/sheet1.xml" Id="rId1" /><Relationship Type="http://schemas.openxmlformats.org/officeDocument/2006/relationships/calcChain" Target="calcChain.xml" Id="rId6" /><Relationship Type="http://schemas.openxmlformats.org/officeDocument/2006/relationships/sharedStrings" Target="sharedStrings.xml" Id="rId5" /><Relationship Type="http://schemas.openxmlformats.org/officeDocument/2006/relationships/styles" Target="styles.xml" Id="rId4" /></Relationships>
</file>

<file path=xl/drawings/drawing1.xml><?xml version="1.0" encoding="utf-8"?>
<xdr:wsDr xmlns:xdr="http://schemas.openxmlformats.org/drawingml/2006/spreadsheetDrawing" xmlns:a="http://schemas.openxmlformats.org/drawingml/2006/main">
  <xdr:twoCellAnchor>
    <xdr:from>
      <xdr:col>6</xdr:col>
      <xdr:colOff>142875</xdr:colOff>
      <xdr:row>28</xdr:row>
      <xdr:rowOff>0</xdr:rowOff>
    </xdr:from>
    <xdr:to>
      <xdr:col>8</xdr:col>
      <xdr:colOff>1114425</xdr:colOff>
      <xdr:row>28</xdr:row>
      <xdr:rowOff>0</xdr:rowOff>
    </xdr:to>
    <xdr:sp macro="" textlink="">
      <xdr:nvSpPr>
        <xdr:cNvPr id="1026" name="Line 2"/>
        <xdr:cNvSpPr>
          <a:spLocks noChangeShapeType="1"/>
        </xdr:cNvSpPr>
      </xdr:nvSpPr>
      <xdr:spPr bwMode="auto">
        <a:xfrm flipV="1">
          <a:off x="4676775" y="4257675"/>
          <a:ext cx="2495550" cy="0"/>
        </a:xfrm>
        <a:prstGeom prst="line">
          <a:avLst/>
        </a:prstGeom>
        <a:noFill/>
        <a:ln w="9525">
          <a:solidFill>
            <a:srgbClr val="008000"/>
          </a:solidFill>
          <a:round/>
          <a:headEnd/>
          <a:tailEnd/>
        </a:ln>
      </xdr:spPr>
    </xdr:sp>
    <xdr:clientData/>
  </xdr:twoCellAnchor>
  <xdr:twoCellAnchor>
    <xdr:from>
      <xdr:col>6</xdr:col>
      <xdr:colOff>142875</xdr:colOff>
      <xdr:row>29</xdr:row>
      <xdr:rowOff>0</xdr:rowOff>
    </xdr:from>
    <xdr:to>
      <xdr:col>8</xdr:col>
      <xdr:colOff>1114425</xdr:colOff>
      <xdr:row>29</xdr:row>
      <xdr:rowOff>0</xdr:rowOff>
    </xdr:to>
    <xdr:sp macro="" textlink="">
      <xdr:nvSpPr>
        <xdr:cNvPr id="1031" name="Line 7"/>
        <xdr:cNvSpPr>
          <a:spLocks noChangeShapeType="1"/>
        </xdr:cNvSpPr>
      </xdr:nvSpPr>
      <xdr:spPr bwMode="auto">
        <a:xfrm>
          <a:off x="4676775" y="4610100"/>
          <a:ext cx="2495550" cy="0"/>
        </a:xfrm>
        <a:prstGeom prst="line">
          <a:avLst/>
        </a:prstGeom>
        <a:noFill/>
        <a:ln w="9525">
          <a:solidFill>
            <a:srgbClr val="008000"/>
          </a:solidFill>
          <a:round/>
          <a:headEnd/>
          <a:tailEnd/>
        </a:ln>
      </xdr:spPr>
    </xdr:sp>
    <xdr:clientData/>
  </xdr:twoCellAnchor>
  <xdr:twoCellAnchor>
    <xdr:from>
      <xdr:col>2</xdr:col>
      <xdr:colOff>581025</xdr:colOff>
      <xdr:row>28</xdr:row>
      <xdr:rowOff>0</xdr:rowOff>
    </xdr:from>
    <xdr:to>
      <xdr:col>5</xdr:col>
      <xdr:colOff>0</xdr:colOff>
      <xdr:row>28</xdr:row>
      <xdr:rowOff>0</xdr:rowOff>
    </xdr:to>
    <xdr:sp macro="" textlink="">
      <xdr:nvSpPr>
        <xdr:cNvPr id="1035" name="Line 11"/>
        <xdr:cNvSpPr>
          <a:spLocks noChangeShapeType="1"/>
        </xdr:cNvSpPr>
      </xdr:nvSpPr>
      <xdr:spPr bwMode="auto">
        <a:xfrm>
          <a:off x="1381125" y="4257675"/>
          <a:ext cx="2247900" cy="0"/>
        </a:xfrm>
        <a:prstGeom prst="line">
          <a:avLst/>
        </a:prstGeom>
        <a:noFill/>
        <a:ln w="9525">
          <a:solidFill>
            <a:srgbClr val="008000"/>
          </a:solidFill>
          <a:round/>
          <a:headEnd/>
          <a:tailEnd/>
        </a:ln>
      </xdr:spPr>
    </xdr:sp>
    <xdr:clientData/>
  </xdr:twoCellAnchor>
  <xdr:twoCellAnchor>
    <xdr:from>
      <xdr:col>2</xdr:col>
      <xdr:colOff>552450</xdr:colOff>
      <xdr:row>29</xdr:row>
      <xdr:rowOff>0</xdr:rowOff>
    </xdr:from>
    <xdr:to>
      <xdr:col>5</xdr:col>
      <xdr:colOff>0</xdr:colOff>
      <xdr:row>29</xdr:row>
      <xdr:rowOff>0</xdr:rowOff>
    </xdr:to>
    <xdr:sp macro="" textlink="">
      <xdr:nvSpPr>
        <xdr:cNvPr id="1036" name="Line 12"/>
        <xdr:cNvSpPr>
          <a:spLocks noChangeShapeType="1"/>
        </xdr:cNvSpPr>
      </xdr:nvSpPr>
      <xdr:spPr bwMode="auto">
        <a:xfrm flipV="1">
          <a:off x="1352550" y="4610100"/>
          <a:ext cx="2276475" cy="0"/>
        </a:xfrm>
        <a:prstGeom prst="line">
          <a:avLst/>
        </a:prstGeom>
        <a:noFill/>
        <a:ln w="9525">
          <a:solidFill>
            <a:srgbClr val="008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sheetPr codeName="Sheet1"/>
  <dimension ref="B1:J31"/>
  <sheetViews>
    <sheetView showGridLines="0" tabSelected="1" zoomScaleNormal="100" workbookViewId="0">
      <pane xSplit="1" ySplit="7" topLeftCell="B8" activePane="bottomRight" state="frozen"/>
      <selection pane="topRight" activeCell="B1" sqref="B1"/>
      <selection pane="bottomLeft" activeCell="A8" sqref="A8"/>
      <selection pane="bottomRight" activeCell="L4" sqref="L4"/>
    </sheetView>
  </sheetViews>
  <sheetFormatPr defaultRowHeight="10.5"/>
  <cols>
    <col min="1" max="1" width="1.33203125" style="5" customWidth="1"/>
    <col min="2" max="3" width="10.83203125" style="5" customWidth="1"/>
    <col min="4" max="4" width="27.83203125" style="5" customWidth="1"/>
    <col min="5" max="5" width="10.83203125" style="5" customWidth="1"/>
    <col min="6" max="7" width="15.83203125" style="5" customWidth="1"/>
    <col min="8" max="8" width="10.83203125" style="5" customWidth="1"/>
    <col min="9" max="9" width="22" style="5" customWidth="1"/>
    <col min="10" max="10" width="1.83203125" style="5" customWidth="1"/>
    <col min="11" max="16384" width="9.33203125" style="5"/>
  </cols>
  <sheetData>
    <row r="1" spans="2:10" ht="7.5" customHeight="1" thickBot="1"/>
    <row r="2" spans="2:10" ht="23.25" customHeight="1">
      <c r="B2" s="36" t="s">
        <v>116</v>
      </c>
      <c r="C2" s="37"/>
      <c r="D2" s="37"/>
      <c r="E2" s="37"/>
      <c r="F2" s="37"/>
      <c r="G2" s="37"/>
      <c r="H2" s="37"/>
      <c r="I2" s="37"/>
      <c r="J2" s="38"/>
    </row>
    <row r="3" spans="2:10" ht="26.25" customHeight="1" thickBot="1">
      <c r="B3" s="39"/>
      <c r="C3" s="40"/>
      <c r="D3" s="40"/>
      <c r="E3" s="40"/>
      <c r="F3" s="40"/>
      <c r="G3" s="40"/>
      <c r="H3" s="40"/>
      <c r="I3" s="40"/>
      <c r="J3" s="41"/>
    </row>
    <row r="4" spans="2:10" ht="27" customHeight="1">
      <c r="B4" s="11" t="s">
        <v>108</v>
      </c>
      <c r="C4" s="66"/>
      <c r="D4" s="66"/>
      <c r="E4" s="66"/>
      <c r="F4" s="9" t="s">
        <v>110</v>
      </c>
      <c r="G4" s="55"/>
      <c r="H4" s="56"/>
      <c r="I4" s="56"/>
      <c r="J4" s="6"/>
    </row>
    <row r="5" spans="2:10" ht="27" customHeight="1">
      <c r="B5" s="10" t="s">
        <v>109</v>
      </c>
      <c r="C5" s="67"/>
      <c r="D5" s="67"/>
      <c r="E5" s="67"/>
      <c r="F5" s="8" t="s">
        <v>111</v>
      </c>
      <c r="G5" s="57"/>
      <c r="H5" s="58"/>
      <c r="I5" s="58"/>
      <c r="J5" s="7"/>
    </row>
    <row r="6" spans="2:10" ht="9.9499999999999993" customHeight="1" thickBot="1">
      <c r="B6" s="42"/>
      <c r="C6" s="43"/>
      <c r="D6" s="43"/>
      <c r="E6" s="43"/>
      <c r="F6" s="43"/>
      <c r="G6" s="43"/>
      <c r="H6" s="43"/>
      <c r="I6" s="43"/>
      <c r="J6" s="44"/>
    </row>
    <row r="7" spans="2:10" ht="45" customHeight="1" thickBot="1">
      <c r="B7" s="68" t="s">
        <v>106</v>
      </c>
      <c r="C7" s="69"/>
      <c r="D7" s="70"/>
      <c r="E7" s="29" t="s">
        <v>120</v>
      </c>
      <c r="F7" s="29" t="s">
        <v>115</v>
      </c>
      <c r="G7" s="29" t="s">
        <v>118</v>
      </c>
      <c r="H7" s="29" t="s">
        <v>117</v>
      </c>
      <c r="I7" s="71" t="s">
        <v>121</v>
      </c>
      <c r="J7" s="72"/>
    </row>
    <row r="8" spans="2:10" ht="19.5" customHeight="1">
      <c r="B8" s="75"/>
      <c r="C8" s="76"/>
      <c r="D8" s="77"/>
      <c r="E8" s="12"/>
      <c r="F8" s="12"/>
      <c r="G8" s="12"/>
      <c r="H8" s="12"/>
      <c r="I8" s="73"/>
      <c r="J8" s="74"/>
    </row>
    <row r="9" spans="2:10" ht="19.5" customHeight="1">
      <c r="B9" s="18"/>
      <c r="C9" s="19"/>
      <c r="D9" s="20"/>
      <c r="E9" s="12"/>
      <c r="F9" s="12"/>
      <c r="G9" s="12"/>
      <c r="H9" s="12"/>
      <c r="I9" s="30"/>
      <c r="J9" s="31"/>
    </row>
    <row r="10" spans="2:10" ht="19.5" customHeight="1">
      <c r="B10" s="18"/>
      <c r="C10" s="19"/>
      <c r="D10" s="20"/>
      <c r="E10" s="12"/>
      <c r="F10" s="12"/>
      <c r="G10" s="12"/>
      <c r="H10" s="12"/>
      <c r="I10" s="30"/>
      <c r="J10" s="31"/>
    </row>
    <row r="11" spans="2:10" ht="19.5" customHeight="1">
      <c r="B11" s="18"/>
      <c r="C11" s="19"/>
      <c r="D11" s="20"/>
      <c r="E11" s="12"/>
      <c r="F11" s="12"/>
      <c r="G11" s="12"/>
      <c r="H11" s="12"/>
      <c r="I11" s="30"/>
      <c r="J11" s="31"/>
    </row>
    <row r="12" spans="2:10" ht="19.5" customHeight="1">
      <c r="B12" s="18"/>
      <c r="C12" s="19"/>
      <c r="D12" s="20"/>
      <c r="E12" s="12"/>
      <c r="F12" s="12"/>
      <c r="G12" s="12"/>
      <c r="H12" s="12"/>
      <c r="I12" s="30"/>
      <c r="J12" s="31"/>
    </row>
    <row r="13" spans="2:10" ht="19.5" customHeight="1">
      <c r="B13" s="18"/>
      <c r="C13" s="19"/>
      <c r="D13" s="20"/>
      <c r="E13" s="12"/>
      <c r="F13" s="12"/>
      <c r="G13" s="12"/>
      <c r="H13" s="12"/>
      <c r="I13" s="30"/>
      <c r="J13" s="31"/>
    </row>
    <row r="14" spans="2:10" ht="19.5" customHeight="1">
      <c r="B14" s="18"/>
      <c r="C14" s="19"/>
      <c r="D14" s="20"/>
      <c r="E14" s="12"/>
      <c r="F14" s="12"/>
      <c r="G14" s="12"/>
      <c r="H14" s="12"/>
      <c r="I14" s="30"/>
      <c r="J14" s="31"/>
    </row>
    <row r="15" spans="2:10" ht="19.5" customHeight="1">
      <c r="B15" s="18"/>
      <c r="C15" s="19"/>
      <c r="D15" s="20"/>
      <c r="E15" s="12"/>
      <c r="F15" s="12"/>
      <c r="G15" s="12"/>
      <c r="H15" s="12"/>
      <c r="I15" s="30"/>
      <c r="J15" s="31"/>
    </row>
    <row r="16" spans="2:10" ht="19.5" customHeight="1">
      <c r="B16" s="18"/>
      <c r="C16" s="19"/>
      <c r="D16" s="20"/>
      <c r="E16" s="12"/>
      <c r="F16" s="12"/>
      <c r="G16" s="12"/>
      <c r="H16" s="12"/>
      <c r="I16" s="30"/>
      <c r="J16" s="31"/>
    </row>
    <row r="17" spans="2:10" ht="19.5" customHeight="1">
      <c r="B17" s="18"/>
      <c r="C17" s="19"/>
      <c r="D17" s="20"/>
      <c r="E17" s="12"/>
      <c r="F17" s="12"/>
      <c r="G17" s="12"/>
      <c r="H17" s="12"/>
      <c r="I17" s="30"/>
      <c r="J17" s="31"/>
    </row>
    <row r="18" spans="2:10" ht="19.5" customHeight="1">
      <c r="B18" s="18"/>
      <c r="C18" s="19"/>
      <c r="D18" s="20"/>
      <c r="E18" s="12"/>
      <c r="F18" s="12"/>
      <c r="G18" s="12"/>
      <c r="H18" s="12"/>
      <c r="I18" s="30"/>
      <c r="J18" s="31"/>
    </row>
    <row r="19" spans="2:10" ht="19.5" customHeight="1">
      <c r="B19" s="18"/>
      <c r="C19" s="19"/>
      <c r="D19" s="20"/>
      <c r="E19" s="12"/>
      <c r="F19" s="12"/>
      <c r="G19" s="12"/>
      <c r="H19" s="12"/>
      <c r="I19" s="30"/>
      <c r="J19" s="31"/>
    </row>
    <row r="20" spans="2:10" ht="19.5" customHeight="1">
      <c r="B20" s="18"/>
      <c r="C20" s="19"/>
      <c r="D20" s="20"/>
      <c r="E20" s="12"/>
      <c r="F20" s="12"/>
      <c r="G20" s="12"/>
      <c r="H20" s="12"/>
      <c r="I20" s="30"/>
      <c r="J20" s="31"/>
    </row>
    <row r="21" spans="2:10" ht="19.5" customHeight="1">
      <c r="B21" s="18"/>
      <c r="C21" s="19"/>
      <c r="D21" s="20"/>
      <c r="E21" s="12"/>
      <c r="F21" s="12"/>
      <c r="G21" s="12"/>
      <c r="H21" s="12"/>
      <c r="I21" s="30"/>
      <c r="J21" s="31"/>
    </row>
    <row r="22" spans="2:10" ht="19.5" customHeight="1">
      <c r="B22" s="18"/>
      <c r="C22" s="19"/>
      <c r="D22" s="20"/>
      <c r="E22" s="12"/>
      <c r="F22" s="12"/>
      <c r="G22" s="12"/>
      <c r="H22" s="12"/>
      <c r="I22" s="30"/>
      <c r="J22" s="31"/>
    </row>
    <row r="23" spans="2:10" ht="19.5" customHeight="1">
      <c r="B23" s="78"/>
      <c r="C23" s="79"/>
      <c r="D23" s="80"/>
      <c r="E23" s="13"/>
      <c r="F23" s="13"/>
      <c r="G23" s="17"/>
      <c r="H23" s="13"/>
      <c r="I23" s="30"/>
      <c r="J23" s="65"/>
    </row>
    <row r="24" spans="2:10" ht="19.5" customHeight="1">
      <c r="B24" s="14"/>
      <c r="C24" s="15"/>
      <c r="D24" s="16"/>
      <c r="E24" s="13"/>
      <c r="F24" s="13"/>
      <c r="G24" s="13"/>
      <c r="H24" s="13"/>
      <c r="I24" s="30"/>
      <c r="J24" s="65"/>
    </row>
    <row r="25" spans="2:10" ht="20.45" customHeight="1">
      <c r="B25" s="48"/>
      <c r="C25" s="49"/>
      <c r="D25" s="49"/>
      <c r="E25" s="49"/>
      <c r="F25" s="49"/>
      <c r="G25" s="49"/>
      <c r="H25" s="50"/>
      <c r="I25" s="59">
        <f>SUM(I8:J24)</f>
        <v>0</v>
      </c>
      <c r="J25" s="60"/>
    </row>
    <row r="26" spans="2:10" ht="33" customHeight="1" thickBot="1">
      <c r="B26" s="61" t="str">
        <f>IF(I25=0,"",WORD)</f>
        <v/>
      </c>
      <c r="C26" s="62"/>
      <c r="D26" s="62"/>
      <c r="E26" s="62"/>
      <c r="F26" s="62"/>
      <c r="G26" s="62"/>
      <c r="H26" s="62"/>
      <c r="I26" s="63"/>
      <c r="J26" s="64"/>
    </row>
    <row r="27" spans="2:10" customFormat="1" ht="8.1" customHeight="1" thickBot="1"/>
    <row r="28" spans="2:10" ht="27.95" customHeight="1">
      <c r="B28" s="21" t="s">
        <v>107</v>
      </c>
      <c r="C28" s="22"/>
      <c r="D28" s="34"/>
      <c r="E28" s="35"/>
      <c r="F28" s="22" t="s">
        <v>112</v>
      </c>
      <c r="G28" s="23"/>
      <c r="H28" s="23"/>
      <c r="I28" s="24"/>
      <c r="J28" s="25"/>
    </row>
    <row r="29" spans="2:10" ht="27.95" customHeight="1">
      <c r="B29" s="26" t="s">
        <v>114</v>
      </c>
      <c r="C29" s="27"/>
      <c r="D29" s="32"/>
      <c r="E29" s="33"/>
      <c r="F29" s="27" t="s">
        <v>113</v>
      </c>
      <c r="G29" s="54"/>
      <c r="H29" s="54"/>
      <c r="I29" s="54"/>
      <c r="J29" s="28"/>
    </row>
    <row r="30" spans="2:10" ht="15" customHeight="1" thickBot="1">
      <c r="B30" s="51"/>
      <c r="C30" s="52"/>
      <c r="D30" s="52"/>
      <c r="E30" s="52"/>
      <c r="F30" s="52"/>
      <c r="G30" s="52"/>
      <c r="H30" s="52"/>
      <c r="I30" s="52"/>
      <c r="J30" s="53"/>
    </row>
    <row r="31" spans="2:10" ht="39.950000000000003" customHeight="1" thickBot="1">
      <c r="B31" s="45" t="s">
        <v>119</v>
      </c>
      <c r="C31" s="46"/>
      <c r="D31" s="46"/>
      <c r="E31" s="46"/>
      <c r="F31" s="46"/>
      <c r="G31" s="46"/>
      <c r="H31" s="46"/>
      <c r="I31" s="46"/>
      <c r="J31" s="47"/>
    </row>
  </sheetData>
  <mergeCells count="35">
    <mergeCell ref="G4:I4"/>
    <mergeCell ref="G5:I5"/>
    <mergeCell ref="I25:J25"/>
    <mergeCell ref="B26:J26"/>
    <mergeCell ref="I24:J24"/>
    <mergeCell ref="C4:E4"/>
    <mergeCell ref="C5:E5"/>
    <mergeCell ref="B7:D7"/>
    <mergeCell ref="I7:J7"/>
    <mergeCell ref="I8:J8"/>
    <mergeCell ref="I23:J23"/>
    <mergeCell ref="B8:D8"/>
    <mergeCell ref="B23:D23"/>
    <mergeCell ref="I14:J14"/>
    <mergeCell ref="B6:J6"/>
    <mergeCell ref="B31:J31"/>
    <mergeCell ref="B25:H25"/>
    <mergeCell ref="B30:J30"/>
    <mergeCell ref="G29:I29"/>
    <mergeCell ref="I21:J21"/>
    <mergeCell ref="I22:J22"/>
    <mergeCell ref="D29:E29"/>
    <mergeCell ref="D28:E28"/>
    <mergeCell ref="B2:J3"/>
    <mergeCell ref="I15:J15"/>
    <mergeCell ref="I16:J16"/>
    <mergeCell ref="I17:J17"/>
    <mergeCell ref="I18:J18"/>
    <mergeCell ref="I19:J19"/>
    <mergeCell ref="I20:J20"/>
    <mergeCell ref="I9:J9"/>
    <mergeCell ref="I10:J10"/>
    <mergeCell ref="I11:J11"/>
    <mergeCell ref="I12:J12"/>
    <mergeCell ref="I13:J13"/>
  </mergeCells>
  <phoneticPr fontId="8" type="noConversion"/>
  <dataValidations disablePrompts="1" xWindow="336" yWindow="289" count="2">
    <dataValidation type="decimal" allowBlank="1" showInputMessage="1" showErrorMessage="1" sqref="I8:I24 J10:J24 J8">
      <formula1>0.01</formula1>
      <formula2>9999999999.99</formula2>
    </dataValidation>
    <dataValidation type="list" showInputMessage="1" showErrorMessage="1" prompt="Please Enter transactions Type" sqref="B2">
      <formula1>"EXPENSE CLAIM, FLOAT ADVANCE, FLOAT RETURNS"</formula1>
    </dataValidation>
  </dataValidations>
  <printOptions horizontalCentered="1" verticalCentered="1"/>
  <pageMargins left="0.25" right="0" top="0.5" bottom="0" header="0" footer="0"/>
  <pageSetup orientation="portrait"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sheetPr codeName="Sheet2"/>
  <dimension ref="A5:H115"/>
  <sheetViews>
    <sheetView workbookViewId="0">
      <selection activeCell="B14" sqref="B14"/>
    </sheetView>
  </sheetViews>
  <sheetFormatPr defaultRowHeight="11.25"/>
  <cols>
    <col min="1" max="1" width="3.1640625" style="1" bestFit="1" customWidth="1"/>
    <col min="2" max="2" width="19.1640625" style="1" bestFit="1" customWidth="1"/>
    <col min="3" max="3" width="19.6640625" style="2" customWidth="1"/>
    <col min="4" max="4" width="8.1640625" style="3" customWidth="1"/>
    <col min="5" max="5" width="20" style="2" bestFit="1" customWidth="1"/>
    <col min="6" max="6" width="14.1640625" style="1" bestFit="1" customWidth="1"/>
    <col min="7" max="8" width="9.33203125" style="1"/>
  </cols>
  <sheetData>
    <row r="5" spans="1:7">
      <c r="B5" s="1" t="s">
        <v>102</v>
      </c>
      <c r="C5" s="2">
        <f>VALUE(RIGHT(INT(FORM!$I$25),12))</f>
        <v>0</v>
      </c>
      <c r="D5" s="3">
        <f>(+C5-(SUM(E6:$E$12)))/100000000000</f>
        <v>0</v>
      </c>
      <c r="E5" s="2">
        <f>+D5*100000000000</f>
        <v>0</v>
      </c>
      <c r="F5" s="1" t="str">
        <f t="shared" ref="F5:F12" si="0">IF(ISNA(VLOOKUP(D5,A:B,2,FALSE)),"",VLOOKUP(D5,A:B,2,FALSE)&amp;" ")</f>
        <v xml:space="preserve"> </v>
      </c>
      <c r="G5" s="1" t="str">
        <f>IF(D5=0,"","HUNDRED ")</f>
        <v/>
      </c>
    </row>
    <row r="6" spans="1:7">
      <c r="B6" s="1" t="s">
        <v>105</v>
      </c>
      <c r="C6" s="2">
        <f>VALUE(RIGHT(INT(FORM!$I$25),11))</f>
        <v>0</v>
      </c>
      <c r="D6" s="3">
        <f>(+C6-(SUM(E7:$E$12)))/1000000000</f>
        <v>0</v>
      </c>
      <c r="E6" s="2">
        <f>+D6*1000000000</f>
        <v>0</v>
      </c>
      <c r="F6" s="1" t="str">
        <f t="shared" si="0"/>
        <v xml:space="preserve"> </v>
      </c>
      <c r="G6" s="1" t="str">
        <f>IF(D5+D6=0,"","BILLION ")</f>
        <v/>
      </c>
    </row>
    <row r="7" spans="1:7">
      <c r="B7" s="1" t="s">
        <v>101</v>
      </c>
      <c r="C7" s="2">
        <f>VALUE(RIGHT(INT(FORM!$I$25),9))</f>
        <v>0</v>
      </c>
      <c r="D7" s="3">
        <f>(+C7-(SUM(E8:$E$12)))/100000000</f>
        <v>0</v>
      </c>
      <c r="E7" s="2">
        <f>+D7*100000000</f>
        <v>0</v>
      </c>
      <c r="F7" s="1" t="str">
        <f t="shared" si="0"/>
        <v xml:space="preserve"> </v>
      </c>
      <c r="G7" s="1" t="str">
        <f>IF(D7=0,"","HUNDRED ")</f>
        <v/>
      </c>
    </row>
    <row r="8" spans="1:7">
      <c r="B8" s="1" t="s">
        <v>104</v>
      </c>
      <c r="C8" s="2">
        <f>VALUE(RIGHT(INT(FORM!$I$25),8))</f>
        <v>0</v>
      </c>
      <c r="D8" s="3">
        <f>(+C8-(SUM(E9:$E$12)))/1000000</f>
        <v>0</v>
      </c>
      <c r="E8" s="2">
        <f>+D8*1000000</f>
        <v>0</v>
      </c>
      <c r="F8" s="1" t="str">
        <f t="shared" si="0"/>
        <v xml:space="preserve"> </v>
      </c>
      <c r="G8" s="1" t="str">
        <f>IF(D7+D8=0,"","MILLION ")</f>
        <v/>
      </c>
    </row>
    <row r="9" spans="1:7">
      <c r="B9" s="1" t="s">
        <v>100</v>
      </c>
      <c r="C9" s="2">
        <f>VALUE(RIGHT(INT(FORM!$I$25),6))</f>
        <v>0</v>
      </c>
      <c r="D9" s="3">
        <f>(+C9-(SUM(E10:$E$12)))/100000</f>
        <v>0</v>
      </c>
      <c r="E9" s="2">
        <f>+D9*100000</f>
        <v>0</v>
      </c>
      <c r="F9" s="1" t="str">
        <f t="shared" si="0"/>
        <v xml:space="preserve"> </v>
      </c>
      <c r="G9" s="1" t="str">
        <f>IF(D9=0,"","HUNDRED ")</f>
        <v/>
      </c>
    </row>
    <row r="10" spans="1:7">
      <c r="B10" s="1" t="s">
        <v>103</v>
      </c>
      <c r="C10" s="2">
        <f>VALUE(RIGHT(INT(FORM!$I$25),5))</f>
        <v>0</v>
      </c>
      <c r="D10" s="3">
        <f>(+C10-(SUM(E11:E12)))/1000</f>
        <v>0</v>
      </c>
      <c r="E10" s="2">
        <f>+D10*1000</f>
        <v>0</v>
      </c>
      <c r="F10" s="1" t="str">
        <f t="shared" si="0"/>
        <v xml:space="preserve"> </v>
      </c>
      <c r="G10" s="1" t="str">
        <f>IF(D9+D10=0,"","THOUSAND ")</f>
        <v/>
      </c>
    </row>
    <row r="11" spans="1:7">
      <c r="B11" s="1" t="s">
        <v>99</v>
      </c>
      <c r="C11" s="2">
        <f>VALUE(RIGHT(INT(FORM!$I$25),3))</f>
        <v>0</v>
      </c>
      <c r="D11" s="3">
        <f>(+C11-D12)/100</f>
        <v>0</v>
      </c>
      <c r="E11" s="2">
        <f>+D11*100</f>
        <v>0</v>
      </c>
      <c r="F11" s="1" t="str">
        <f t="shared" si="0"/>
        <v xml:space="preserve"> </v>
      </c>
      <c r="G11" s="1" t="str">
        <f>IF(D11=0,"","HUNDRED ")</f>
        <v/>
      </c>
    </row>
    <row r="12" spans="1:7">
      <c r="B12" s="1" t="s">
        <v>9</v>
      </c>
      <c r="C12" s="2">
        <f>VALUE(RIGHT(INT(FORM!$I$25),2))</f>
        <v>0</v>
      </c>
      <c r="D12" s="3">
        <f>+C12</f>
        <v>0</v>
      </c>
      <c r="E12" s="2">
        <f>+D12</f>
        <v>0</v>
      </c>
      <c r="F12" s="1" t="str">
        <f t="shared" si="0"/>
        <v xml:space="preserve"> </v>
      </c>
    </row>
    <row r="13" spans="1:7">
      <c r="B13" s="1" t="s">
        <v>0</v>
      </c>
      <c r="C13" s="2">
        <f>ROUND(FORM!I25-INT(FORM!I25),2)*100</f>
        <v>0</v>
      </c>
      <c r="F13" s="1" t="str">
        <f>IF(C13=0," ONLY","&amp; "&amp;C13&amp;"/100 ONLY")</f>
        <v xml:space="preserve"> ONLY</v>
      </c>
    </row>
    <row r="14" spans="1:7" ht="44.25" customHeight="1">
      <c r="B14" s="1" t="str">
        <f>TRIM(CONCATENATE(WORD!F5,WORD!G5,WORD!F6,WORD!G6,WORD!F7,WORD!G7,WORD!F8,WORD!G8,WORD!F9,WORD!G9,WORD!F10,WORD!G10,WORD!F11,WORD!G11,WORD!F12,WORD!F13))</f>
        <v>ONLY</v>
      </c>
      <c r="C14" s="1"/>
      <c r="D14" s="1"/>
      <c r="E14" s="1"/>
      <c r="G14" s="4"/>
    </row>
    <row r="16" spans="1:7">
      <c r="A16" s="1">
        <v>0</v>
      </c>
    </row>
    <row r="17" spans="1:2">
      <c r="A17" s="1">
        <v>1</v>
      </c>
      <c r="B17" s="1" t="s">
        <v>0</v>
      </c>
    </row>
    <row r="18" spans="1:2">
      <c r="A18" s="1">
        <v>2</v>
      </c>
      <c r="B18" s="1" t="s">
        <v>1</v>
      </c>
    </row>
    <row r="19" spans="1:2">
      <c r="A19" s="1">
        <v>3</v>
      </c>
      <c r="B19" s="1" t="s">
        <v>2</v>
      </c>
    </row>
    <row r="20" spans="1:2">
      <c r="A20" s="1">
        <v>4</v>
      </c>
      <c r="B20" s="1" t="s">
        <v>3</v>
      </c>
    </row>
    <row r="21" spans="1:2">
      <c r="A21" s="1">
        <v>5</v>
      </c>
      <c r="B21" s="1" t="s">
        <v>4</v>
      </c>
    </row>
    <row r="22" spans="1:2">
      <c r="A22" s="1">
        <v>6</v>
      </c>
      <c r="B22" s="1" t="s">
        <v>5</v>
      </c>
    </row>
    <row r="23" spans="1:2">
      <c r="A23" s="1">
        <v>7</v>
      </c>
      <c r="B23" s="1" t="s">
        <v>6</v>
      </c>
    </row>
    <row r="24" spans="1:2">
      <c r="A24" s="1">
        <v>8</v>
      </c>
      <c r="B24" s="1" t="s">
        <v>7</v>
      </c>
    </row>
    <row r="25" spans="1:2">
      <c r="A25" s="1">
        <v>9</v>
      </c>
      <c r="B25" s="1" t="s">
        <v>8</v>
      </c>
    </row>
    <row r="26" spans="1:2">
      <c r="A26" s="1">
        <v>10</v>
      </c>
      <c r="B26" s="1" t="s">
        <v>9</v>
      </c>
    </row>
    <row r="27" spans="1:2">
      <c r="A27" s="1">
        <v>11</v>
      </c>
      <c r="B27" s="1" t="s">
        <v>11</v>
      </c>
    </row>
    <row r="28" spans="1:2">
      <c r="A28" s="1">
        <v>12</v>
      </c>
      <c r="B28" s="1" t="s">
        <v>12</v>
      </c>
    </row>
    <row r="29" spans="1:2">
      <c r="A29" s="1">
        <v>13</v>
      </c>
      <c r="B29" s="1" t="s">
        <v>13</v>
      </c>
    </row>
    <row r="30" spans="1:2">
      <c r="A30" s="1">
        <v>14</v>
      </c>
      <c r="B30" s="1" t="s">
        <v>14</v>
      </c>
    </row>
    <row r="31" spans="1:2">
      <c r="A31" s="1">
        <v>15</v>
      </c>
      <c r="B31" s="1" t="s">
        <v>15</v>
      </c>
    </row>
    <row r="32" spans="1:2">
      <c r="A32" s="1">
        <v>16</v>
      </c>
      <c r="B32" s="1" t="s">
        <v>16</v>
      </c>
    </row>
    <row r="33" spans="1:2">
      <c r="A33" s="1">
        <v>17</v>
      </c>
      <c r="B33" s="1" t="s">
        <v>17</v>
      </c>
    </row>
    <row r="34" spans="1:2">
      <c r="A34" s="1">
        <v>18</v>
      </c>
      <c r="B34" s="1" t="s">
        <v>18</v>
      </c>
    </row>
    <row r="35" spans="1:2">
      <c r="A35" s="1">
        <v>19</v>
      </c>
      <c r="B35" s="1" t="s">
        <v>19</v>
      </c>
    </row>
    <row r="36" spans="1:2">
      <c r="A36" s="1">
        <v>20</v>
      </c>
      <c r="B36" s="1" t="s">
        <v>10</v>
      </c>
    </row>
    <row r="37" spans="1:2">
      <c r="A37" s="1">
        <v>21</v>
      </c>
      <c r="B37" s="1" t="s">
        <v>27</v>
      </c>
    </row>
    <row r="38" spans="1:2">
      <c r="A38" s="1">
        <v>22</v>
      </c>
      <c r="B38" s="1" t="s">
        <v>28</v>
      </c>
    </row>
    <row r="39" spans="1:2">
      <c r="A39" s="1">
        <v>23</v>
      </c>
      <c r="B39" s="1" t="s">
        <v>29</v>
      </c>
    </row>
    <row r="40" spans="1:2">
      <c r="A40" s="1">
        <v>24</v>
      </c>
      <c r="B40" s="1" t="s">
        <v>30</v>
      </c>
    </row>
    <row r="41" spans="1:2">
      <c r="A41" s="1">
        <v>25</v>
      </c>
      <c r="B41" s="1" t="s">
        <v>31</v>
      </c>
    </row>
    <row r="42" spans="1:2">
      <c r="A42" s="1">
        <v>26</v>
      </c>
      <c r="B42" s="1" t="s">
        <v>32</v>
      </c>
    </row>
    <row r="43" spans="1:2">
      <c r="A43" s="1">
        <v>27</v>
      </c>
      <c r="B43" s="1" t="s">
        <v>33</v>
      </c>
    </row>
    <row r="44" spans="1:2">
      <c r="A44" s="1">
        <v>28</v>
      </c>
      <c r="B44" s="1" t="s">
        <v>34</v>
      </c>
    </row>
    <row r="45" spans="1:2">
      <c r="A45" s="1">
        <v>29</v>
      </c>
      <c r="B45" s="1" t="s">
        <v>35</v>
      </c>
    </row>
    <row r="46" spans="1:2">
      <c r="A46" s="1">
        <v>30</v>
      </c>
      <c r="B46" s="1" t="s">
        <v>20</v>
      </c>
    </row>
    <row r="47" spans="1:2">
      <c r="A47" s="1">
        <v>31</v>
      </c>
      <c r="B47" s="1" t="s">
        <v>36</v>
      </c>
    </row>
    <row r="48" spans="1:2">
      <c r="A48" s="1">
        <v>32</v>
      </c>
      <c r="B48" s="1" t="s">
        <v>37</v>
      </c>
    </row>
    <row r="49" spans="1:2">
      <c r="A49" s="1">
        <v>33</v>
      </c>
      <c r="B49" s="1" t="s">
        <v>38</v>
      </c>
    </row>
    <row r="50" spans="1:2">
      <c r="A50" s="1">
        <v>34</v>
      </c>
      <c r="B50" s="1" t="s">
        <v>39</v>
      </c>
    </row>
    <row r="51" spans="1:2">
      <c r="A51" s="1">
        <v>35</v>
      </c>
      <c r="B51" s="1" t="s">
        <v>40</v>
      </c>
    </row>
    <row r="52" spans="1:2">
      <c r="A52" s="1">
        <v>36</v>
      </c>
      <c r="B52" s="1" t="s">
        <v>41</v>
      </c>
    </row>
    <row r="53" spans="1:2">
      <c r="A53" s="1">
        <v>37</v>
      </c>
      <c r="B53" s="1" t="s">
        <v>42</v>
      </c>
    </row>
    <row r="54" spans="1:2">
      <c r="A54" s="1">
        <v>38</v>
      </c>
      <c r="B54" s="1" t="s">
        <v>43</v>
      </c>
    </row>
    <row r="55" spans="1:2">
      <c r="A55" s="1">
        <v>39</v>
      </c>
      <c r="B55" s="1" t="s">
        <v>44</v>
      </c>
    </row>
    <row r="56" spans="1:2">
      <c r="A56" s="1">
        <v>40</v>
      </c>
      <c r="B56" s="1" t="s">
        <v>21</v>
      </c>
    </row>
    <row r="57" spans="1:2">
      <c r="A57" s="1">
        <v>41</v>
      </c>
      <c r="B57" s="1" t="s">
        <v>45</v>
      </c>
    </row>
    <row r="58" spans="1:2">
      <c r="A58" s="1">
        <v>42</v>
      </c>
      <c r="B58" s="1" t="s">
        <v>46</v>
      </c>
    </row>
    <row r="59" spans="1:2">
      <c r="A59" s="1">
        <v>43</v>
      </c>
      <c r="B59" s="1" t="s">
        <v>47</v>
      </c>
    </row>
    <row r="60" spans="1:2">
      <c r="A60" s="1">
        <v>44</v>
      </c>
      <c r="B60" s="1" t="s">
        <v>48</v>
      </c>
    </row>
    <row r="61" spans="1:2">
      <c r="A61" s="1">
        <v>45</v>
      </c>
      <c r="B61" s="1" t="s">
        <v>49</v>
      </c>
    </row>
    <row r="62" spans="1:2">
      <c r="A62" s="1">
        <v>46</v>
      </c>
      <c r="B62" s="1" t="s">
        <v>50</v>
      </c>
    </row>
    <row r="63" spans="1:2">
      <c r="A63" s="1">
        <v>47</v>
      </c>
      <c r="B63" s="1" t="s">
        <v>51</v>
      </c>
    </row>
    <row r="64" spans="1:2">
      <c r="A64" s="1">
        <v>48</v>
      </c>
      <c r="B64" s="1" t="s">
        <v>52</v>
      </c>
    </row>
    <row r="65" spans="1:2">
      <c r="A65" s="1">
        <v>49</v>
      </c>
      <c r="B65" s="1" t="s">
        <v>53</v>
      </c>
    </row>
    <row r="66" spans="1:2">
      <c r="A66" s="1">
        <v>50</v>
      </c>
      <c r="B66" s="1" t="s">
        <v>22</v>
      </c>
    </row>
    <row r="67" spans="1:2">
      <c r="A67" s="1">
        <v>51</v>
      </c>
      <c r="B67" s="1" t="s">
        <v>54</v>
      </c>
    </row>
    <row r="68" spans="1:2">
      <c r="A68" s="1">
        <v>52</v>
      </c>
      <c r="B68" s="1" t="s">
        <v>55</v>
      </c>
    </row>
    <row r="69" spans="1:2">
      <c r="A69" s="1">
        <v>53</v>
      </c>
      <c r="B69" s="1" t="s">
        <v>56</v>
      </c>
    </row>
    <row r="70" spans="1:2">
      <c r="A70" s="1">
        <v>54</v>
      </c>
      <c r="B70" s="1" t="s">
        <v>57</v>
      </c>
    </row>
    <row r="71" spans="1:2">
      <c r="A71" s="1">
        <v>55</v>
      </c>
      <c r="B71" s="1" t="s">
        <v>58</v>
      </c>
    </row>
    <row r="72" spans="1:2">
      <c r="A72" s="1">
        <v>56</v>
      </c>
      <c r="B72" s="1" t="s">
        <v>59</v>
      </c>
    </row>
    <row r="73" spans="1:2">
      <c r="A73" s="1">
        <v>57</v>
      </c>
      <c r="B73" s="1" t="s">
        <v>60</v>
      </c>
    </row>
    <row r="74" spans="1:2">
      <c r="A74" s="1">
        <v>58</v>
      </c>
      <c r="B74" s="1" t="s">
        <v>61</v>
      </c>
    </row>
    <row r="75" spans="1:2">
      <c r="A75" s="1">
        <v>59</v>
      </c>
      <c r="B75" s="1" t="s">
        <v>62</v>
      </c>
    </row>
    <row r="76" spans="1:2">
      <c r="A76" s="1">
        <v>60</v>
      </c>
      <c r="B76" s="1" t="s">
        <v>23</v>
      </c>
    </row>
    <row r="77" spans="1:2">
      <c r="A77" s="1">
        <v>61</v>
      </c>
      <c r="B77" s="1" t="s">
        <v>63</v>
      </c>
    </row>
    <row r="78" spans="1:2">
      <c r="A78" s="1">
        <v>62</v>
      </c>
      <c r="B78" s="1" t="s">
        <v>64</v>
      </c>
    </row>
    <row r="79" spans="1:2">
      <c r="A79" s="1">
        <v>63</v>
      </c>
      <c r="B79" s="1" t="s">
        <v>65</v>
      </c>
    </row>
    <row r="80" spans="1:2">
      <c r="A80" s="1">
        <v>64</v>
      </c>
      <c r="B80" s="1" t="s">
        <v>66</v>
      </c>
    </row>
    <row r="81" spans="1:2">
      <c r="A81" s="1">
        <v>65</v>
      </c>
      <c r="B81" s="1" t="s">
        <v>67</v>
      </c>
    </row>
    <row r="82" spans="1:2">
      <c r="A82" s="1">
        <v>66</v>
      </c>
      <c r="B82" s="1" t="s">
        <v>68</v>
      </c>
    </row>
    <row r="83" spans="1:2">
      <c r="A83" s="1">
        <v>67</v>
      </c>
      <c r="B83" s="1" t="s">
        <v>69</v>
      </c>
    </row>
    <row r="84" spans="1:2">
      <c r="A84" s="1">
        <v>68</v>
      </c>
      <c r="B84" s="1" t="s">
        <v>70</v>
      </c>
    </row>
    <row r="85" spans="1:2">
      <c r="A85" s="1">
        <v>69</v>
      </c>
      <c r="B85" s="1" t="s">
        <v>71</v>
      </c>
    </row>
    <row r="86" spans="1:2">
      <c r="A86" s="1">
        <v>70</v>
      </c>
      <c r="B86" s="1" t="s">
        <v>24</v>
      </c>
    </row>
    <row r="87" spans="1:2">
      <c r="A87" s="1">
        <v>71</v>
      </c>
      <c r="B87" s="1" t="s">
        <v>72</v>
      </c>
    </row>
    <row r="88" spans="1:2">
      <c r="A88" s="1">
        <v>72</v>
      </c>
      <c r="B88" s="1" t="s">
        <v>73</v>
      </c>
    </row>
    <row r="89" spans="1:2">
      <c r="A89" s="1">
        <v>73</v>
      </c>
      <c r="B89" s="1" t="s">
        <v>74</v>
      </c>
    </row>
    <row r="90" spans="1:2">
      <c r="A90" s="1">
        <v>74</v>
      </c>
      <c r="B90" s="1" t="s">
        <v>75</v>
      </c>
    </row>
    <row r="91" spans="1:2">
      <c r="A91" s="1">
        <v>75</v>
      </c>
      <c r="B91" s="1" t="s">
        <v>76</v>
      </c>
    </row>
    <row r="92" spans="1:2">
      <c r="A92" s="1">
        <v>76</v>
      </c>
      <c r="B92" s="1" t="s">
        <v>77</v>
      </c>
    </row>
    <row r="93" spans="1:2">
      <c r="A93" s="1">
        <v>77</v>
      </c>
      <c r="B93" s="1" t="s">
        <v>78</v>
      </c>
    </row>
    <row r="94" spans="1:2">
      <c r="A94" s="1">
        <v>78</v>
      </c>
      <c r="B94" s="1" t="s">
        <v>79</v>
      </c>
    </row>
    <row r="95" spans="1:2">
      <c r="A95" s="1">
        <v>79</v>
      </c>
      <c r="B95" s="1" t="s">
        <v>80</v>
      </c>
    </row>
    <row r="96" spans="1:2">
      <c r="A96" s="1">
        <v>80</v>
      </c>
      <c r="B96" s="1" t="s">
        <v>25</v>
      </c>
    </row>
    <row r="97" spans="1:2">
      <c r="A97" s="1">
        <v>81</v>
      </c>
      <c r="B97" s="1" t="s">
        <v>81</v>
      </c>
    </row>
    <row r="98" spans="1:2">
      <c r="A98" s="1">
        <v>82</v>
      </c>
      <c r="B98" s="1" t="s">
        <v>82</v>
      </c>
    </row>
    <row r="99" spans="1:2">
      <c r="A99" s="1">
        <v>83</v>
      </c>
      <c r="B99" s="1" t="s">
        <v>83</v>
      </c>
    </row>
    <row r="100" spans="1:2">
      <c r="A100" s="1">
        <v>84</v>
      </c>
      <c r="B100" s="1" t="s">
        <v>84</v>
      </c>
    </row>
    <row r="101" spans="1:2">
      <c r="A101" s="1">
        <v>85</v>
      </c>
      <c r="B101" s="1" t="s">
        <v>85</v>
      </c>
    </row>
    <row r="102" spans="1:2">
      <c r="A102" s="1">
        <v>86</v>
      </c>
      <c r="B102" s="1" t="s">
        <v>86</v>
      </c>
    </row>
    <row r="103" spans="1:2">
      <c r="A103" s="1">
        <v>87</v>
      </c>
      <c r="B103" s="1" t="s">
        <v>87</v>
      </c>
    </row>
    <row r="104" spans="1:2">
      <c r="A104" s="1">
        <v>88</v>
      </c>
      <c r="B104" s="1" t="s">
        <v>88</v>
      </c>
    </row>
    <row r="105" spans="1:2">
      <c r="A105" s="1">
        <v>89</v>
      </c>
      <c r="B105" s="1" t="s">
        <v>89</v>
      </c>
    </row>
    <row r="106" spans="1:2">
      <c r="A106" s="1">
        <v>90</v>
      </c>
      <c r="B106" s="1" t="s">
        <v>26</v>
      </c>
    </row>
    <row r="107" spans="1:2">
      <c r="A107" s="1">
        <v>91</v>
      </c>
      <c r="B107" s="1" t="s">
        <v>90</v>
      </c>
    </row>
    <row r="108" spans="1:2">
      <c r="A108" s="1">
        <v>92</v>
      </c>
      <c r="B108" s="1" t="s">
        <v>91</v>
      </c>
    </row>
    <row r="109" spans="1:2">
      <c r="A109" s="1">
        <v>93</v>
      </c>
      <c r="B109" s="1" t="s">
        <v>92</v>
      </c>
    </row>
    <row r="110" spans="1:2">
      <c r="A110" s="1">
        <v>94</v>
      </c>
      <c r="B110" s="1" t="s">
        <v>93</v>
      </c>
    </row>
    <row r="111" spans="1:2">
      <c r="A111" s="1">
        <v>95</v>
      </c>
      <c r="B111" s="1" t="s">
        <v>94</v>
      </c>
    </row>
    <row r="112" spans="1:2">
      <c r="A112" s="1">
        <v>96</v>
      </c>
      <c r="B112" s="1" t="s">
        <v>95</v>
      </c>
    </row>
    <row r="113" spans="1:2">
      <c r="A113" s="1">
        <v>97</v>
      </c>
      <c r="B113" s="1" t="s">
        <v>96</v>
      </c>
    </row>
    <row r="114" spans="1:2">
      <c r="A114" s="1">
        <v>98</v>
      </c>
      <c r="B114" s="1" t="s">
        <v>97</v>
      </c>
    </row>
    <row r="115" spans="1:2">
      <c r="A115" s="1">
        <v>99</v>
      </c>
      <c r="B115" s="1" t="s">
        <v>98</v>
      </c>
    </row>
  </sheetData>
  <phoneticPr fontId="8" type="noConversion"/>
  <pageMargins left="0.75" right="0.75" top="1" bottom="1" header="0.5" footer="0.5"/>
  <headerFooter alignWithMargins="0"/>
</worksheet>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2.xml><?xml version="1.0" encoding="utf-8"?>
<?mso-contentType ?>
<FormTemplates xmlns="http://schemas.microsoft.com/sharepoint/v3/contenttype/forms">
  <Display>DocumentLibraryForm</Display>
  <Edit>AssetEditForm</Edit>
  <New>DocumentLibraryForm</New>
</FormTemplates>
</file>

<file path=customXml/itemProps2.xml><?xml version="1.0" encoding="utf-8"?>
<ds:datastoreItem xmlns:ds="http://schemas.openxmlformats.org/officeDocument/2006/customXml" ds:itemID="{E51F109E-A40C-4DEE-A328-51361B35DF9E}"/>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5</vt:i4>
      </vt:variant>
    </vt:vector>
  </HeadingPairs>
  <TitlesOfParts>
    <vt:vector size="7" baseType="lpstr">
      <vt:lpstr>FORM</vt:lpstr>
      <vt:lpstr>WORD</vt:lpstr>
      <vt:lpstr>data_1</vt:lpstr>
      <vt:lpstr>date_2</vt:lpstr>
      <vt:lpstr>Enter_data</vt:lpstr>
      <vt:lpstr>FORM!Print_Area</vt:lpstr>
      <vt:lpstr>WORD</vt:lpstr>
    </vt:vector>
  </TitlesOfParts>
  <Company/>
  <LinksUpToDate>false</LinksUpToDate>
  <SharedDoc>false</SharedDoc>
  <HyperlinksChanged>false</HyperlinksChanged>
  <AppVersion>12.0000</AppVersion>
</Properties>
</file>

<file path=docProps/core.xml><?xml version="1.0" encoding="utf-8"?>
<coreProperties xmlns:dc="http://purl.org/dc/elements/1.1/" xmlns:dcterms="http://purl.org/dc/terms/" xmlns:xsi="http://www.w3.org/2001/XMLSchema-instance" xmlns="http://schemas.openxmlformats.org/package/2006/metadata/core-properties">
  <dc:title/>
  <dc:creator/>
  <lastModifiedBy/>
  <lastPrinted>2008-02-21T05:59:39.0000000Z</lastPrinted>
  <dc:description/>
  <dcterms:modified xsi:type="dcterms:W3CDTF">2008-08-03T11:04:52.0000000Z</dcterms:modified>
  <keywords/>
  <version/>
  <dc:subject/>
</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TC300032729990</vt:lpwstr>
  </property>
</Properties>
</file>